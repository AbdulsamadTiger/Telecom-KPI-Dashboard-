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<sst xmlns="http://schemas.openxmlformats.org/spreadsheetml/2006/main" count="126" uniqueCount="22">
  <si>
    <t>Date</t>
  </si>
  <si>
    <t>Site_ID</t>
  </si>
  <si>
    <t>Area</t>
  </si>
  <si>
    <t>Vendor</t>
  </si>
  <si>
    <t>4G_Traffic_GB</t>
  </si>
  <si>
    <t>Call_Drop_Rate_%</t>
  </si>
  <si>
    <t>Latency _ms</t>
  </si>
  <si>
    <t>Packet_Loss_%</t>
  </si>
  <si>
    <t>Active Users</t>
  </si>
  <si>
    <t>Network_Availability_%</t>
  </si>
  <si>
    <t xml:space="preserve"> </t>
  </si>
  <si>
    <t>VI001</t>
  </si>
  <si>
    <t>Victoria Island</t>
  </si>
  <si>
    <t>Huawei</t>
  </si>
  <si>
    <t>VI002</t>
  </si>
  <si>
    <t>VI003</t>
  </si>
  <si>
    <t>VI004</t>
  </si>
  <si>
    <t>VI005</t>
  </si>
  <si>
    <t>SUM of 4G_Traffic_GB</t>
  </si>
  <si>
    <t>SUM of Call_Drop_Rate_%</t>
  </si>
  <si>
    <t>SUM of Network_Availability_%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</si>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</sst>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2'!$A$2:$A$1000</c:f>
            </c:strRef>
          </c:cat>
          <c:val>
            <c:numRef>
              <c:f>'Pivot Table 2'!$B$2:$B$1000</c:f>
              <c:numCache/>
            </c:numRef>
          </c:val>
        </c:ser>
        <c:ser>
          <c:idx val="1"/>
          <c:order val="1"/>
          <c:tx>
            <c:strRef>
              <c:f>'Pivot Table 2'!$C$1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2'!$A$2:$A$1000</c:f>
            </c:strRef>
          </c:cat>
          <c:val>
            <c:numRef>
              <c:f>'Pivot Table 2'!$C$2:$C$1000</c:f>
              <c:numCache/>
            </c:numRef>
          </c:val>
        </c:ser>
        <c:ser>
          <c:idx val="2"/>
          <c:order val="2"/>
          <c:tx>
            <c:strRef>
              <c:f>'Pivot Table 2'!$D$1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2'!$A$2:$A$1000</c:f>
            </c:strRef>
          </c:cat>
          <c:val>
            <c:numRef>
              <c:f>'Pivot Table 2'!$D$2:$D$1000</c:f>
              <c:numCache/>
            </c:numRef>
          </c:val>
        </c:ser>
        <c:ser>
          <c:idx val="3"/>
          <c:order val="3"/>
          <c:tx>
            <c:strRef>
              <c:f>'Pivot Table 2'!$E$1</c:f>
            </c:strRef>
          </c:tx>
          <c:cat>
            <c:strRef>
              <c:f>'Pivot Table 2'!$A$2:$A$1000</c:f>
            </c:strRef>
          </c:cat>
          <c:val>
            <c:numRef>
              <c:f>'Pivot Table 2'!$E$2:$E$1000</c:f>
              <c:numCache/>
            </c:numRef>
          </c:val>
        </c:ser>
        <c:ser>
          <c:idx val="4"/>
          <c:order val="4"/>
          <c:tx>
            <c:strRef>
              <c:f>'Pivot Table 2'!$F$1</c:f>
            </c:strRef>
          </c:tx>
          <c:cat>
            <c:strRef>
              <c:f>'Pivot Table 2'!$A$2:$A$1000</c:f>
            </c:strRef>
          </c:cat>
          <c:val>
            <c:numRef>
              <c:f>'Pivot Table 2'!$F$2:$F$1000</c:f>
              <c:numCache/>
            </c:numRef>
          </c:val>
        </c:ser>
        <c:ser>
          <c:idx val="5"/>
          <c:order val="5"/>
          <c:tx>
            <c:strRef>
              <c:f>'Pivot Table 2'!$G$1</c:f>
            </c:strRef>
          </c:tx>
          <c:cat>
            <c:strRef>
              <c:f>'Pivot Table 2'!$A$2:$A$1000</c:f>
            </c:strRef>
          </c:cat>
          <c:val>
            <c:numRef>
              <c:f>'Pivot Table 2'!$G$2:$G$1000</c:f>
              <c:numCache/>
            </c:numRef>
          </c:val>
        </c:ser>
        <c:ser>
          <c:idx val="6"/>
          <c:order val="6"/>
          <c:tx>
            <c:strRef>
              <c:f>'Pivot Table 2'!$H$1</c:f>
            </c:strRef>
          </c:tx>
          <c:cat>
            <c:strRef>
              <c:f>'Pivot Table 2'!$A$2:$A$1000</c:f>
            </c:strRef>
          </c:cat>
          <c:val>
            <c:numRef>
              <c:f>'Pivot Table 2'!$H$2:$H$1000</c:f>
              <c:numCache/>
            </c:numRef>
          </c:val>
        </c:ser>
        <c:ser>
          <c:idx val="7"/>
          <c:order val="7"/>
          <c:tx>
            <c:strRef>
              <c:f>'Pivot Table 2'!$I$1</c:f>
            </c:strRef>
          </c:tx>
          <c:cat>
            <c:strRef>
              <c:f>'Pivot Table 2'!$A$2:$A$1000</c:f>
            </c:strRef>
          </c:cat>
          <c:val>
            <c:numRef>
              <c:f>'Pivot Table 2'!$I$2:$I$1000</c:f>
              <c:numCache/>
            </c:numRef>
          </c:val>
        </c:ser>
        <c:ser>
          <c:idx val="8"/>
          <c:order val="8"/>
          <c:tx>
            <c:strRef>
              <c:f>'Pivot Table 2'!$J$1</c:f>
            </c:strRef>
          </c:tx>
          <c:cat>
            <c:strRef>
              <c:f>'Pivot Table 2'!$A$2:$A$1000</c:f>
            </c:strRef>
          </c:cat>
          <c:val>
            <c:numRef>
              <c:f>'Pivot Table 2'!$J$2:$J$1000</c:f>
              <c:numCache/>
            </c:numRef>
          </c:val>
        </c:ser>
        <c:ser>
          <c:idx val="9"/>
          <c:order val="9"/>
          <c:tx>
            <c:strRef>
              <c:f>'Pivot Table 2'!$K$1</c:f>
            </c:strRef>
          </c:tx>
          <c:cat>
            <c:strRef>
              <c:f>'Pivot Table 2'!$A$2:$A$1000</c:f>
            </c:strRef>
          </c:cat>
          <c:val>
            <c:numRef>
              <c:f>'Pivot Table 2'!$K$2:$K$1000</c:f>
              <c:numCache/>
            </c:numRef>
          </c:val>
        </c:ser>
        <c:ser>
          <c:idx val="10"/>
          <c:order val="10"/>
          <c:tx>
            <c:strRef>
              <c:f>'Pivot Table 2'!$L$1</c:f>
            </c:strRef>
          </c:tx>
          <c:cat>
            <c:strRef>
              <c:f>'Pivot Table 2'!$A$2:$A$1000</c:f>
            </c:strRef>
          </c:cat>
          <c:val>
            <c:numRef>
              <c:f>'Pivot Table 2'!$L$2:$L$1000</c:f>
              <c:numCache/>
            </c:numRef>
          </c:val>
        </c:ser>
        <c:ser>
          <c:idx val="11"/>
          <c:order val="11"/>
          <c:tx>
            <c:strRef>
              <c:f>'Pivot Table 2'!$M$1</c:f>
            </c:strRef>
          </c:tx>
          <c:cat>
            <c:strRef>
              <c:f>'Pivot Table 2'!$A$2:$A$1000</c:f>
            </c:strRef>
          </c:cat>
          <c:val>
            <c:numRef>
              <c:f>'Pivot Table 2'!$M$2:$M$1000</c:f>
              <c:numCache/>
            </c:numRef>
          </c:val>
        </c:ser>
        <c:ser>
          <c:idx val="12"/>
          <c:order val="12"/>
          <c:tx>
            <c:strRef>
              <c:f>'Pivot Table 2'!$N$1</c:f>
            </c:strRef>
          </c:tx>
          <c:cat>
            <c:strRef>
              <c:f>'Pivot Table 2'!$A$2:$A$1000</c:f>
            </c:strRef>
          </c:cat>
          <c:val>
            <c:numRef>
              <c:f>'Pivot Table 2'!$N$2:$N$1000</c:f>
              <c:numCache/>
            </c:numRef>
          </c:val>
        </c:ser>
        <c:ser>
          <c:idx val="13"/>
          <c:order val="13"/>
          <c:tx>
            <c:strRef>
              <c:f>'Pivot Table 2'!$O$1</c:f>
            </c:strRef>
          </c:tx>
          <c:cat>
            <c:strRef>
              <c:f>'Pivot Table 2'!$A$2:$A$1000</c:f>
            </c:strRef>
          </c:cat>
          <c:val>
            <c:numRef>
              <c:f>'Pivot Table 2'!$O$2:$O$1000</c:f>
              <c:numCache/>
            </c:numRef>
          </c:val>
        </c:ser>
        <c:ser>
          <c:idx val="14"/>
          <c:order val="14"/>
          <c:tx>
            <c:strRef>
              <c:f>'Pivot Table 2'!$P$1</c:f>
            </c:strRef>
          </c:tx>
          <c:cat>
            <c:strRef>
              <c:f>'Pivot Table 2'!$A$2:$A$1000</c:f>
            </c:strRef>
          </c:cat>
          <c:val>
            <c:numRef>
              <c:f>'Pivot Table 2'!$P$2:$P$1000</c:f>
              <c:numCache/>
            </c:numRef>
          </c:val>
        </c:ser>
        <c:ser>
          <c:idx val="15"/>
          <c:order val="15"/>
          <c:tx>
            <c:strRef>
              <c:f>'Pivot Table 2'!$Q$1</c:f>
            </c:strRef>
          </c:tx>
          <c:cat>
            <c:strRef>
              <c:f>'Pivot Table 2'!$A$2:$A$1000</c:f>
            </c:strRef>
          </c:cat>
          <c:val>
            <c:numRef>
              <c:f>'Pivot Table 2'!$Q$2:$Q$1000</c:f>
              <c:numCache/>
            </c:numRef>
          </c:val>
        </c:ser>
        <c:ser>
          <c:idx val="16"/>
          <c:order val="16"/>
          <c:tx>
            <c:strRef>
              <c:f>'Pivot Table 2'!$R$1</c:f>
            </c:strRef>
          </c:tx>
          <c:cat>
            <c:strRef>
              <c:f>'Pivot Table 2'!$A$2:$A$1000</c:f>
            </c:strRef>
          </c:cat>
          <c:val>
            <c:numRef>
              <c:f>'Pivot Table 2'!$R$2:$R$1000</c:f>
              <c:numCache/>
            </c:numRef>
          </c:val>
        </c:ser>
        <c:ser>
          <c:idx val="17"/>
          <c:order val="17"/>
          <c:tx>
            <c:strRef>
              <c:f>'Pivot Table 2'!$S$1</c:f>
            </c:strRef>
          </c:tx>
          <c:cat>
            <c:strRef>
              <c:f>'Pivot Table 2'!$A$2:$A$1000</c:f>
            </c:strRef>
          </c:cat>
          <c:val>
            <c:numRef>
              <c:f>'Pivot Table 2'!$S$2:$S$1000</c:f>
              <c:numCache/>
            </c:numRef>
          </c:val>
        </c:ser>
        <c:ser>
          <c:idx val="18"/>
          <c:order val="18"/>
          <c:tx>
            <c:strRef>
              <c:f>'Pivot Table 2'!$T$1</c:f>
            </c:strRef>
          </c:tx>
          <c:cat>
            <c:strRef>
              <c:f>'Pivot Table 2'!$A$2:$A$1000</c:f>
            </c:strRef>
          </c:cat>
          <c:val>
            <c:numRef>
              <c:f>'Pivot Table 2'!$T$2:$T$1000</c:f>
              <c:numCache/>
            </c:numRef>
          </c:val>
        </c:ser>
        <c:ser>
          <c:idx val="19"/>
          <c:order val="19"/>
          <c:tx>
            <c:strRef>
              <c:f>'Pivot Table 2'!$U$1</c:f>
            </c:strRef>
          </c:tx>
          <c:cat>
            <c:strRef>
              <c:f>'Pivot Table 2'!$A$2:$A$1000</c:f>
            </c:strRef>
          </c:cat>
          <c:val>
            <c:numRef>
              <c:f>'Pivot Table 2'!$U$2:$U$1000</c:f>
              <c:numCache/>
            </c:numRef>
          </c:val>
        </c:ser>
        <c:ser>
          <c:idx val="20"/>
          <c:order val="20"/>
          <c:tx>
            <c:strRef>
              <c:f>'Pivot Table 2'!$V$1</c:f>
            </c:strRef>
          </c:tx>
          <c:cat>
            <c:strRef>
              <c:f>'Pivot Table 2'!$A$2:$A$1000</c:f>
            </c:strRef>
          </c:cat>
          <c:val>
            <c:numRef>
              <c:f>'Pivot Table 2'!$V$2:$V$1000</c:f>
              <c:numCache/>
            </c:numRef>
          </c:val>
        </c:ser>
        <c:ser>
          <c:idx val="21"/>
          <c:order val="21"/>
          <c:tx>
            <c:strRef>
              <c:f>'Pivot Table 2'!$W$1</c:f>
            </c:strRef>
          </c:tx>
          <c:cat>
            <c:strRef>
              <c:f>'Pivot Table 2'!$A$2:$A$1000</c:f>
            </c:strRef>
          </c:cat>
          <c:val>
            <c:numRef>
              <c:f>'Pivot Table 2'!$W$2:$W$1000</c:f>
              <c:numCache/>
            </c:numRef>
          </c:val>
        </c:ser>
        <c:ser>
          <c:idx val="22"/>
          <c:order val="22"/>
          <c:tx>
            <c:strRef>
              <c:f>'Pivot Table 2'!$X$1</c:f>
            </c:strRef>
          </c:tx>
          <c:cat>
            <c:strRef>
              <c:f>'Pivot Table 2'!$A$2:$A$1000</c:f>
            </c:strRef>
          </c:cat>
          <c:val>
            <c:numRef>
              <c:f>'Pivot Table 2'!$X$2:$X$1000</c:f>
              <c:numCache/>
            </c:numRef>
          </c:val>
        </c:ser>
        <c:ser>
          <c:idx val="23"/>
          <c:order val="23"/>
          <c:tx>
            <c:strRef>
              <c:f>'Pivot Table 2'!$Y$1</c:f>
            </c:strRef>
          </c:tx>
          <c:cat>
            <c:strRef>
              <c:f>'Pivot Table 2'!$A$2:$A$1000</c:f>
            </c:strRef>
          </c:cat>
          <c:val>
            <c:numRef>
              <c:f>'Pivot Table 2'!$Y$2:$Y$1000</c:f>
              <c:numCache/>
            </c:numRef>
          </c:val>
        </c:ser>
        <c:ser>
          <c:idx val="24"/>
          <c:order val="24"/>
          <c:tx>
            <c:strRef>
              <c:f>'Pivot Table 2'!$Z$1</c:f>
            </c:strRef>
          </c:tx>
          <c:cat>
            <c:strRef>
              <c:f>'Pivot Table 2'!$A$2:$A$1000</c:f>
            </c:strRef>
          </c:cat>
          <c:val>
            <c:numRef>
              <c:f>'Pivot Table 2'!$Z$2:$Z$1000</c:f>
              <c:numCache/>
            </c:numRef>
          </c:val>
        </c:ser>
        <c:axId val="906804773"/>
        <c:axId val="399401079"/>
      </c:barChart>
      <c:catAx>
        <c:axId val="906804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9401079"/>
      </c:catAx>
      <c:valAx>
        <c:axId val="399401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8047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400050</xdr:colOff>
      <xdr:row>3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Sheet1"/>
  </cacheSource>
  <cacheFields>
    <cacheField name="Date" numFmtId="164">
      <sharedItems containsDate="1" containsString="0" containsBlank="1"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m/>
      </sharedItems>
    </cacheField>
    <cacheField name="Site_ID" numFmtId="0">
      <sharedItems containsBlank="1">
        <s v="VI001"/>
        <s v="VI002"/>
        <s v="VI003"/>
        <s v="VI004"/>
        <s v="VI005"/>
        <m/>
      </sharedItems>
    </cacheField>
    <cacheField name="Area" numFmtId="0">
      <sharedItems containsBlank="1">
        <s v="Victoria Island"/>
        <m/>
      </sharedItems>
    </cacheField>
    <cacheField name="Vendor" numFmtId="0">
      <sharedItems containsBlank="1">
        <s v="Huawei"/>
        <m/>
      </sharedItems>
    </cacheField>
    <cacheField name="4G_Traffic_GB" numFmtId="0">
      <sharedItems containsString="0" containsBlank="1" containsNumber="1" containsInteger="1">
        <n v="320.0"/>
        <n v="410.0"/>
        <n v="380.0"/>
        <n v="450.0"/>
        <n v="360.0"/>
        <n v="340.0"/>
        <n v="420.0"/>
        <n v="395.0"/>
        <n v="460.0"/>
        <n v="370.0"/>
        <n v="350.0"/>
        <n v="430.0"/>
        <n v="400.0"/>
        <n v="470.0"/>
        <n v="355.0"/>
        <n v="440.0"/>
        <n v="405.0"/>
        <n v="480.0"/>
        <n v="390.0"/>
        <n v="445.0"/>
        <n v="490.0"/>
        <n v="365.0"/>
        <n v="500.0"/>
        <m/>
      </sharedItems>
    </cacheField>
    <cacheField name="Call_Drop_Rate_%" numFmtId="0">
      <sharedItems containsString="0" containsBlank="1" containsNumber="1">
        <n v="1.5"/>
        <n v="2.1"/>
        <n v="1.2"/>
        <n v="2.5"/>
        <n v="1.4"/>
        <n v="1.7"/>
        <n v="2.2"/>
        <n v="1.3"/>
        <n v="2.6"/>
        <n v="1.6"/>
        <n v="2.3"/>
        <n v="2.7"/>
        <n v="2.4"/>
        <n v="2.8"/>
        <n v="2.9"/>
        <n v="3.0"/>
        <n v="1.8"/>
        <m/>
      </sharedItems>
    </cacheField>
    <cacheField name="Latency _ms" numFmtId="0">
      <sharedItems containsString="0" containsBlank="1" containsNumber="1" containsInteger="1">
        <n v="22.0"/>
        <n v="25.0"/>
        <n v="21.0"/>
        <n v="27.0"/>
        <n v="23.0"/>
        <n v="24.0"/>
        <n v="26.0"/>
        <n v="28.0"/>
        <n v="29.0"/>
        <n v="30.0"/>
        <n v="31.0"/>
        <n v="32.0"/>
        <m/>
      </sharedItems>
    </cacheField>
    <cacheField name="Packet_Loss_%" numFmtId="0">
      <sharedItems containsString="0" containsBlank="1" containsNumber="1">
        <n v="0.5"/>
        <n v="0.7"/>
        <n v="0.4"/>
        <n v="0.9"/>
        <n v="0.6"/>
        <n v="0.8"/>
        <n v="1.0"/>
        <n v="1.1"/>
        <n v="1.2"/>
        <n v="1.3"/>
        <n v="1.4"/>
        <m/>
      </sharedItems>
    </cacheField>
    <cacheField name="Active Users" numFmtId="0">
      <sharedItems containsString="0" containsBlank="1" containsNumber="1" containsInteger="1">
        <n v="1250.0"/>
        <n v="1420.0"/>
        <n v="1310.0"/>
        <n v="1500.0"/>
        <n v="1290.0"/>
        <n v="1270.0"/>
        <n v="1450.0"/>
        <n v="1330.0"/>
        <n v="1520.0"/>
        <n v="1300.0"/>
        <n v="1280.0"/>
        <n v="1470.0"/>
        <n v="1340.0"/>
        <n v="1550.0"/>
        <n v="1320.0"/>
        <n v="1480.0"/>
        <n v="1350.0"/>
        <n v="1580.0"/>
        <n v="1490.0"/>
        <n v="1360.0"/>
        <n v="1600.0"/>
        <n v="1370.0"/>
        <n v="1620.0"/>
        <m/>
      </sharedItems>
    </cacheField>
    <cacheField name="Network_Availability_%" numFmtId="0">
      <sharedItems containsString="0" containsBlank="1" containsNumber="1">
        <n v="99.2"/>
        <n v="98.9"/>
        <n v="99.4"/>
        <n v="98.6"/>
        <n v="99.1"/>
        <n v="99.0"/>
        <n v="98.7"/>
        <n v="99.3"/>
        <n v="98.5"/>
        <n v="98.8"/>
        <n v="98.4"/>
        <n v="9.1"/>
        <n v="98.3"/>
        <n v="98.2"/>
        <n v="98.1"/>
        <m/>
      </sharedItems>
    </cacheField>
    <cacheField name=" " numFmtId="0">
      <sharedItems containsString="0" containsBlank="1">
        <m/>
      </sharedItems>
    </cacheField>
    <cacheField name=" 2">
      <sharedItems containsDate="1" containsBlank="1" containsMixedTypes="1">
        <m/>
        <s v="Date"/>
        <d v="2026-02-01T00:00:00Z"/>
        <d v="2026-02-02T00:00:00Z"/>
        <d v="2026-02-03T00:00:00Z"/>
        <d v="2026-02-04T00:00:00Z"/>
        <d v="2026-02-05T00:00:00Z"/>
        <n v="99.1"/>
        <s v="Site_ID"/>
        <s v="VI004"/>
        <s v="VI002"/>
        <s v="VI005"/>
        <s v="VI001"/>
        <s v="VI003"/>
      </sharedItems>
    </cacheField>
    <cacheField name=" 3">
      <sharedItems containsBlank="1" containsMixedTypes="1" containsNumber="1" containsInteger="1">
        <m/>
        <s v="Site_ID"/>
        <s v="VI001"/>
        <s v="VI002"/>
        <s v="VI003"/>
        <s v="VI004"/>
        <s v="VI005"/>
        <s v="sum Latency _ms"/>
        <n v="177.0"/>
        <n v="158.0"/>
        <n v="143.0"/>
        <n v="139.0"/>
        <n v="132.0"/>
        <s v="4G_Traffic_GB"/>
        <n v="320.0"/>
        <n v="380.0"/>
        <n v="360.0"/>
        <n v="340.0"/>
        <n v="395.0"/>
        <n v="370.0"/>
        <n v="350.0"/>
        <n v="355.0"/>
        <n v="390.0"/>
        <n v="365.0"/>
      </sharedItems>
    </cacheField>
    <cacheField name=" 4">
      <sharedItems containsBlank="1" containsMixedTypes="1" containsNumber="1" containsInteger="1">
        <m/>
        <s v="Area"/>
        <s v="Victoria Island"/>
        <s v="1()"/>
        <n v="1.0"/>
      </sharedItems>
    </cacheField>
    <cacheField name=" 5" numFmtId="0">
      <sharedItems containsBlank="1">
        <m/>
        <s v="Vendor"/>
        <s v="Huawei"/>
      </sharedItems>
    </cacheField>
    <cacheField name=" 6">
      <sharedItems containsBlank="1" containsMixedTypes="1" containsNumber="1" containsInteger="1">
        <m/>
        <s v="4G_Traffic_GB"/>
        <n v="320.0"/>
        <n v="410.0"/>
        <n v="380.0"/>
        <n v="450.0"/>
        <n v="360.0"/>
      </sharedItems>
    </cacheField>
    <cacheField name=" 7">
      <sharedItems containsBlank="1" containsMixedTypes="1" containsNumber="1">
        <m/>
        <s v="Call_Drop_Rate_%"/>
        <n v="1.5"/>
        <n v="2.1"/>
        <n v="1.2"/>
        <n v="2.5"/>
        <n v="1.4"/>
      </sharedItems>
    </cacheField>
    <cacheField name=" 8">
      <sharedItems containsBlank="1" containsMixedTypes="1" containsNumber="1" containsInteger="1">
        <m/>
        <s v="Latency _ms"/>
        <n v="22.0"/>
        <n v="25.0"/>
        <n v="21.0"/>
        <n v="27.0"/>
        <n v="23.0"/>
      </sharedItems>
    </cacheField>
    <cacheField name=" 9">
      <sharedItems containsBlank="1" containsMixedTypes="1" containsNumber="1">
        <m/>
        <s v="Packet_Loss_%"/>
        <n v="0.5"/>
        <n v="0.7"/>
        <n v="0.4"/>
        <n v="0.9"/>
      </sharedItems>
    </cacheField>
    <cacheField name=" 10">
      <sharedItems containsBlank="1" containsMixedTypes="1" containsNumber="1" containsInteger="1">
        <m/>
        <s v="Active Users"/>
        <n v="1250.0"/>
        <n v="1420.0"/>
        <n v="1310.0"/>
        <n v="1500.0"/>
        <n v="1290.0"/>
      </sharedItems>
    </cacheField>
    <cacheField name=" 11">
      <sharedItems containsBlank="1" containsMixedTypes="1" containsNumber="1">
        <m/>
        <s v="Network_Availability_%"/>
        <n v="99.2"/>
        <n v="98.9"/>
        <n v="99.4"/>
        <n v="98.6"/>
        <n v="99.1"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D8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ite_ID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Area" compact="0" outline="0" multipleItemSelectionAllowed="1" showAll="0">
      <items>
        <item x="0"/>
        <item x="1"/>
        <item t="default"/>
      </items>
    </pivotField>
    <pivotField name="Vendor" compact="0" outline="0" multipleItemSelectionAllowed="1" showAll="0">
      <items>
        <item x="0"/>
        <item x="1"/>
        <item t="default"/>
      </items>
    </pivotField>
    <pivotField name="4G_Traffic_G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ll_Drop_Rate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atency 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cket_Los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ctive 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etwork_Availability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5" compact="0" outline="0" multipleItemSelectionAllowed="1" showAll="0">
      <items>
        <item x="0"/>
        <item x="1"/>
        <item x="2"/>
        <item t="default"/>
      </items>
    </pivotField>
    <pivotField name=" 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8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9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1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1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SUM of 4G_Traffic_GB" fld="4" baseField="0"/>
    <dataField name="SUM of Call_Drop_Rate_%" fld="5" baseField="0"/>
    <dataField name="SUM of Network_Availability_%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6.25"/>
    <col customWidth="1" min="3" max="3" width="17.38"/>
    <col customWidth="1" min="4" max="4" width="14.13"/>
    <col customWidth="1" min="5" max="5" width="15.25"/>
    <col customWidth="1" min="6" max="6" width="17.5"/>
    <col customWidth="1" min="10" max="10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10</v>
      </c>
      <c r="M1" s="2" t="s">
        <v>10</v>
      </c>
      <c r="N1" s="2" t="s">
        <v>10</v>
      </c>
      <c r="O1" s="2" t="s">
        <v>10</v>
      </c>
      <c r="P1" s="2" t="s">
        <v>10</v>
      </c>
      <c r="Q1" s="2" t="s">
        <v>10</v>
      </c>
      <c r="R1" s="2" t="s">
        <v>10</v>
      </c>
      <c r="S1" s="2" t="s">
        <v>10</v>
      </c>
      <c r="T1" s="2" t="s">
        <v>10</v>
      </c>
      <c r="U1" s="2" t="s">
        <v>10</v>
      </c>
      <c r="V1" s="2" t="s">
        <v>10</v>
      </c>
      <c r="W1" s="2" t="s">
        <v>10</v>
      </c>
      <c r="X1" s="2" t="s">
        <v>10</v>
      </c>
      <c r="Y1" s="2" t="s">
        <v>10</v>
      </c>
      <c r="Z1" s="2" t="s">
        <v>10</v>
      </c>
    </row>
    <row r="2">
      <c r="A2" s="3">
        <v>46054.0</v>
      </c>
      <c r="B2" s="1" t="s">
        <v>11</v>
      </c>
      <c r="C2" s="1" t="s">
        <v>12</v>
      </c>
      <c r="D2" s="1" t="s">
        <v>13</v>
      </c>
      <c r="E2" s="1">
        <v>320.0</v>
      </c>
      <c r="F2" s="1">
        <v>1.5</v>
      </c>
      <c r="G2" s="1">
        <v>22.0</v>
      </c>
      <c r="H2" s="1">
        <v>0.5</v>
      </c>
      <c r="I2" s="1">
        <v>1250.0</v>
      </c>
      <c r="J2" s="1">
        <v>99.2</v>
      </c>
    </row>
    <row r="3">
      <c r="A3" s="3">
        <v>46055.0</v>
      </c>
      <c r="B3" s="1" t="s">
        <v>14</v>
      </c>
      <c r="C3" s="1" t="s">
        <v>12</v>
      </c>
      <c r="D3" s="1" t="s">
        <v>13</v>
      </c>
      <c r="E3" s="1">
        <v>410.0</v>
      </c>
      <c r="F3" s="1">
        <v>2.1</v>
      </c>
      <c r="G3" s="1">
        <v>25.0</v>
      </c>
      <c r="H3" s="1">
        <v>0.7</v>
      </c>
      <c r="I3" s="1">
        <v>1420.0</v>
      </c>
      <c r="J3" s="1">
        <v>98.9</v>
      </c>
      <c r="L3" s="2" t="str">
        <f>IFERROR(__xludf.DUMMYFUNCTION("QUERY(A1:J31,""SELECT * LIMIT 5"")"),"Date")</f>
        <v>Date</v>
      </c>
      <c r="M3" s="2" t="str">
        <f>IFERROR(__xludf.DUMMYFUNCTION("""COMPUTED_VALUE"""),"Site_ID")</f>
        <v>Site_ID</v>
      </c>
      <c r="N3" s="2" t="str">
        <f>IFERROR(__xludf.DUMMYFUNCTION("""COMPUTED_VALUE"""),"Area")</f>
        <v>Area</v>
      </c>
      <c r="O3" s="2" t="str">
        <f>IFERROR(__xludf.DUMMYFUNCTION("""COMPUTED_VALUE"""),"Vendor")</f>
        <v>Vendor</v>
      </c>
      <c r="P3" s="2" t="str">
        <f>IFERROR(__xludf.DUMMYFUNCTION("""COMPUTED_VALUE"""),"4G_Traffic_GB")</f>
        <v>4G_Traffic_GB</v>
      </c>
      <c r="Q3" s="2" t="str">
        <f>IFERROR(__xludf.DUMMYFUNCTION("""COMPUTED_VALUE"""),"Call_Drop_Rate_%")</f>
        <v>Call_Drop_Rate_%</v>
      </c>
      <c r="R3" s="2" t="str">
        <f>IFERROR(__xludf.DUMMYFUNCTION("""COMPUTED_VALUE"""),"Latency _ms")</f>
        <v>Latency _ms</v>
      </c>
      <c r="S3" s="2" t="str">
        <f>IFERROR(__xludf.DUMMYFUNCTION("""COMPUTED_VALUE"""),"Packet_Loss_%")</f>
        <v>Packet_Loss_%</v>
      </c>
      <c r="T3" s="2" t="str">
        <f>IFERROR(__xludf.DUMMYFUNCTION("""COMPUTED_VALUE"""),"Active Users")</f>
        <v>Active Users</v>
      </c>
      <c r="U3" s="2" t="str">
        <f>IFERROR(__xludf.DUMMYFUNCTION("""COMPUTED_VALUE"""),"Network_Availability_%")</f>
        <v>Network_Availability_%</v>
      </c>
    </row>
    <row r="4">
      <c r="A4" s="3">
        <v>46056.0</v>
      </c>
      <c r="B4" s="1" t="s">
        <v>15</v>
      </c>
      <c r="C4" s="1" t="s">
        <v>12</v>
      </c>
      <c r="D4" s="1" t="s">
        <v>13</v>
      </c>
      <c r="E4" s="1">
        <v>380.0</v>
      </c>
      <c r="F4" s="1">
        <v>1.2</v>
      </c>
      <c r="G4" s="1">
        <v>21.0</v>
      </c>
      <c r="H4" s="1">
        <v>0.4</v>
      </c>
      <c r="I4" s="1">
        <v>1310.0</v>
      </c>
      <c r="J4" s="1">
        <v>99.4</v>
      </c>
      <c r="L4" s="4">
        <f>IFERROR(__xludf.DUMMYFUNCTION("""COMPUTED_VALUE"""),46054.0)</f>
        <v>46054</v>
      </c>
      <c r="M4" s="2" t="str">
        <f>IFERROR(__xludf.DUMMYFUNCTION("""COMPUTED_VALUE"""),"VI001")</f>
        <v>VI001</v>
      </c>
      <c r="N4" s="2" t="str">
        <f>IFERROR(__xludf.DUMMYFUNCTION("""COMPUTED_VALUE"""),"Victoria Island")</f>
        <v>Victoria Island</v>
      </c>
      <c r="O4" s="2" t="str">
        <f>IFERROR(__xludf.DUMMYFUNCTION("""COMPUTED_VALUE"""),"Huawei")</f>
        <v>Huawei</v>
      </c>
      <c r="P4" s="2">
        <f>IFERROR(__xludf.DUMMYFUNCTION("""COMPUTED_VALUE"""),320.0)</f>
        <v>320</v>
      </c>
      <c r="Q4" s="2">
        <f>IFERROR(__xludf.DUMMYFUNCTION("""COMPUTED_VALUE"""),1.5)</f>
        <v>1.5</v>
      </c>
      <c r="R4" s="2">
        <f>IFERROR(__xludf.DUMMYFUNCTION("""COMPUTED_VALUE"""),22.0)</f>
        <v>22</v>
      </c>
      <c r="S4" s="2">
        <f>IFERROR(__xludf.DUMMYFUNCTION("""COMPUTED_VALUE"""),0.5)</f>
        <v>0.5</v>
      </c>
      <c r="T4" s="2">
        <f>IFERROR(__xludf.DUMMYFUNCTION("""COMPUTED_VALUE"""),1250.0)</f>
        <v>1250</v>
      </c>
      <c r="U4" s="2">
        <f>IFERROR(__xludf.DUMMYFUNCTION("""COMPUTED_VALUE"""),99.2)</f>
        <v>99.2</v>
      </c>
    </row>
    <row r="5">
      <c r="A5" s="3">
        <v>46057.0</v>
      </c>
      <c r="B5" s="1" t="s">
        <v>16</v>
      </c>
      <c r="C5" s="1" t="s">
        <v>12</v>
      </c>
      <c r="D5" s="1" t="s">
        <v>13</v>
      </c>
      <c r="E5" s="1">
        <v>450.0</v>
      </c>
      <c r="F5" s="1">
        <v>2.5</v>
      </c>
      <c r="G5" s="1">
        <v>27.0</v>
      </c>
      <c r="H5" s="1">
        <v>0.9</v>
      </c>
      <c r="I5" s="1">
        <v>1500.0</v>
      </c>
      <c r="J5" s="1">
        <v>98.6</v>
      </c>
      <c r="L5" s="4">
        <f>IFERROR(__xludf.DUMMYFUNCTION("""COMPUTED_VALUE"""),46055.0)</f>
        <v>46055</v>
      </c>
      <c r="M5" s="2" t="str">
        <f>IFERROR(__xludf.DUMMYFUNCTION("""COMPUTED_VALUE"""),"VI002")</f>
        <v>VI002</v>
      </c>
      <c r="N5" s="2" t="str">
        <f>IFERROR(__xludf.DUMMYFUNCTION("""COMPUTED_VALUE"""),"Victoria Island")</f>
        <v>Victoria Island</v>
      </c>
      <c r="O5" s="2" t="str">
        <f>IFERROR(__xludf.DUMMYFUNCTION("""COMPUTED_VALUE"""),"Huawei")</f>
        <v>Huawei</v>
      </c>
      <c r="P5" s="2">
        <f>IFERROR(__xludf.DUMMYFUNCTION("""COMPUTED_VALUE"""),410.0)</f>
        <v>410</v>
      </c>
      <c r="Q5" s="2">
        <f>IFERROR(__xludf.DUMMYFUNCTION("""COMPUTED_VALUE"""),2.1)</f>
        <v>2.1</v>
      </c>
      <c r="R5" s="2">
        <f>IFERROR(__xludf.DUMMYFUNCTION("""COMPUTED_VALUE"""),25.0)</f>
        <v>25</v>
      </c>
      <c r="S5" s="2">
        <f>IFERROR(__xludf.DUMMYFUNCTION("""COMPUTED_VALUE"""),0.7)</f>
        <v>0.7</v>
      </c>
      <c r="T5" s="2">
        <f>IFERROR(__xludf.DUMMYFUNCTION("""COMPUTED_VALUE"""),1420.0)</f>
        <v>1420</v>
      </c>
      <c r="U5" s="2">
        <f>IFERROR(__xludf.DUMMYFUNCTION("""COMPUTED_VALUE"""),98.9)</f>
        <v>98.9</v>
      </c>
    </row>
    <row r="6">
      <c r="A6" s="3">
        <v>46058.0</v>
      </c>
      <c r="B6" s="1" t="s">
        <v>17</v>
      </c>
      <c r="C6" s="1" t="s">
        <v>12</v>
      </c>
      <c r="D6" s="1" t="s">
        <v>13</v>
      </c>
      <c r="E6" s="1">
        <v>360.0</v>
      </c>
      <c r="F6" s="1">
        <v>1.4</v>
      </c>
      <c r="G6" s="1">
        <v>23.0</v>
      </c>
      <c r="H6" s="1">
        <v>0.5</v>
      </c>
      <c r="I6" s="1">
        <v>1290.0</v>
      </c>
      <c r="J6" s="1">
        <v>99.1</v>
      </c>
      <c r="L6" s="4">
        <f>IFERROR(__xludf.DUMMYFUNCTION("""COMPUTED_VALUE"""),46056.0)</f>
        <v>46056</v>
      </c>
      <c r="M6" s="2" t="str">
        <f>IFERROR(__xludf.DUMMYFUNCTION("""COMPUTED_VALUE"""),"VI003")</f>
        <v>VI003</v>
      </c>
      <c r="N6" s="2" t="str">
        <f>IFERROR(__xludf.DUMMYFUNCTION("""COMPUTED_VALUE"""),"Victoria Island")</f>
        <v>Victoria Island</v>
      </c>
      <c r="O6" s="2" t="str">
        <f>IFERROR(__xludf.DUMMYFUNCTION("""COMPUTED_VALUE"""),"Huawei")</f>
        <v>Huawei</v>
      </c>
      <c r="P6" s="2">
        <f>IFERROR(__xludf.DUMMYFUNCTION("""COMPUTED_VALUE"""),380.0)</f>
        <v>380</v>
      </c>
      <c r="Q6" s="2">
        <f>IFERROR(__xludf.DUMMYFUNCTION("""COMPUTED_VALUE"""),1.2)</f>
        <v>1.2</v>
      </c>
      <c r="R6" s="2">
        <f>IFERROR(__xludf.DUMMYFUNCTION("""COMPUTED_VALUE"""),21.0)</f>
        <v>21</v>
      </c>
      <c r="S6" s="2">
        <f>IFERROR(__xludf.DUMMYFUNCTION("""COMPUTED_VALUE"""),0.4)</f>
        <v>0.4</v>
      </c>
      <c r="T6" s="2">
        <f>IFERROR(__xludf.DUMMYFUNCTION("""COMPUTED_VALUE"""),1310.0)</f>
        <v>1310</v>
      </c>
      <c r="U6" s="2">
        <f>IFERROR(__xludf.DUMMYFUNCTION("""COMPUTED_VALUE"""),99.4)</f>
        <v>99.4</v>
      </c>
    </row>
    <row r="7">
      <c r="A7" s="3">
        <v>46059.0</v>
      </c>
      <c r="B7" s="1" t="s">
        <v>11</v>
      </c>
      <c r="C7" s="1" t="s">
        <v>12</v>
      </c>
      <c r="D7" s="1" t="s">
        <v>13</v>
      </c>
      <c r="E7" s="1">
        <v>340.0</v>
      </c>
      <c r="F7" s="1">
        <v>1.7</v>
      </c>
      <c r="G7" s="1">
        <v>24.0</v>
      </c>
      <c r="H7" s="1">
        <v>0.6</v>
      </c>
      <c r="I7" s="1">
        <v>1270.0</v>
      </c>
      <c r="J7" s="1">
        <v>99.0</v>
      </c>
      <c r="L7" s="4">
        <f>IFERROR(__xludf.DUMMYFUNCTION("""COMPUTED_VALUE"""),46057.0)</f>
        <v>46057</v>
      </c>
      <c r="M7" s="2" t="str">
        <f>IFERROR(__xludf.DUMMYFUNCTION("""COMPUTED_VALUE"""),"VI004")</f>
        <v>VI004</v>
      </c>
      <c r="N7" s="2" t="str">
        <f>IFERROR(__xludf.DUMMYFUNCTION("""COMPUTED_VALUE"""),"Victoria Island")</f>
        <v>Victoria Island</v>
      </c>
      <c r="O7" s="2" t="str">
        <f>IFERROR(__xludf.DUMMYFUNCTION("""COMPUTED_VALUE"""),"Huawei")</f>
        <v>Huawei</v>
      </c>
      <c r="P7" s="2">
        <f>IFERROR(__xludf.DUMMYFUNCTION("""COMPUTED_VALUE"""),450.0)</f>
        <v>450</v>
      </c>
      <c r="Q7" s="2">
        <f>IFERROR(__xludf.DUMMYFUNCTION("""COMPUTED_VALUE"""),2.5)</f>
        <v>2.5</v>
      </c>
      <c r="R7" s="2">
        <f>IFERROR(__xludf.DUMMYFUNCTION("""COMPUTED_VALUE"""),27.0)</f>
        <v>27</v>
      </c>
      <c r="S7" s="2">
        <f>IFERROR(__xludf.DUMMYFUNCTION("""COMPUTED_VALUE"""),0.9)</f>
        <v>0.9</v>
      </c>
      <c r="T7" s="2">
        <f>IFERROR(__xludf.DUMMYFUNCTION("""COMPUTED_VALUE"""),1500.0)</f>
        <v>1500</v>
      </c>
      <c r="U7" s="2">
        <f>IFERROR(__xludf.DUMMYFUNCTION("""COMPUTED_VALUE"""),98.6)</f>
        <v>98.6</v>
      </c>
    </row>
    <row r="8">
      <c r="A8" s="3">
        <v>46060.0</v>
      </c>
      <c r="B8" s="1" t="s">
        <v>14</v>
      </c>
      <c r="C8" s="1" t="s">
        <v>12</v>
      </c>
      <c r="D8" s="1" t="s">
        <v>13</v>
      </c>
      <c r="E8" s="1">
        <v>420.0</v>
      </c>
      <c r="F8" s="1">
        <v>2.2</v>
      </c>
      <c r="G8" s="1">
        <v>26.0</v>
      </c>
      <c r="H8" s="1">
        <v>0.8</v>
      </c>
      <c r="I8" s="1">
        <v>1450.0</v>
      </c>
      <c r="J8" s="1">
        <v>98.7</v>
      </c>
      <c r="L8" s="4">
        <f>IFERROR(__xludf.DUMMYFUNCTION("""COMPUTED_VALUE"""),46058.0)</f>
        <v>46058</v>
      </c>
      <c r="M8" s="2" t="str">
        <f>IFERROR(__xludf.DUMMYFUNCTION("""COMPUTED_VALUE"""),"VI005")</f>
        <v>VI005</v>
      </c>
      <c r="N8" s="2" t="str">
        <f>IFERROR(__xludf.DUMMYFUNCTION("""COMPUTED_VALUE"""),"Victoria Island")</f>
        <v>Victoria Island</v>
      </c>
      <c r="O8" s="2" t="str">
        <f>IFERROR(__xludf.DUMMYFUNCTION("""COMPUTED_VALUE"""),"Huawei")</f>
        <v>Huawei</v>
      </c>
      <c r="P8" s="2">
        <f>IFERROR(__xludf.DUMMYFUNCTION("""COMPUTED_VALUE"""),360.0)</f>
        <v>360</v>
      </c>
      <c r="Q8" s="2">
        <f>IFERROR(__xludf.DUMMYFUNCTION("""COMPUTED_VALUE"""),1.4)</f>
        <v>1.4</v>
      </c>
      <c r="R8" s="2">
        <f>IFERROR(__xludf.DUMMYFUNCTION("""COMPUTED_VALUE"""),23.0)</f>
        <v>23</v>
      </c>
      <c r="S8" s="2">
        <f>IFERROR(__xludf.DUMMYFUNCTION("""COMPUTED_VALUE"""),0.5)</f>
        <v>0.5</v>
      </c>
      <c r="T8" s="2">
        <f>IFERROR(__xludf.DUMMYFUNCTION("""COMPUTED_VALUE"""),1290.0)</f>
        <v>1290</v>
      </c>
      <c r="U8" s="2">
        <f>IFERROR(__xludf.DUMMYFUNCTION("""COMPUTED_VALUE"""),99.1)</f>
        <v>99.1</v>
      </c>
    </row>
    <row r="9">
      <c r="A9" s="3">
        <v>46061.0</v>
      </c>
      <c r="B9" s="1" t="s">
        <v>15</v>
      </c>
      <c r="C9" s="1" t="s">
        <v>12</v>
      </c>
      <c r="D9" s="1" t="s">
        <v>13</v>
      </c>
      <c r="E9" s="1">
        <v>395.0</v>
      </c>
      <c r="F9" s="1">
        <v>1.3</v>
      </c>
      <c r="G9" s="1">
        <v>22.0</v>
      </c>
      <c r="H9" s="1">
        <v>0.5</v>
      </c>
      <c r="I9" s="1">
        <v>1330.0</v>
      </c>
      <c r="J9" s="1">
        <v>99.3</v>
      </c>
    </row>
    <row r="10">
      <c r="A10" s="3">
        <v>46062.0</v>
      </c>
      <c r="B10" s="1" t="s">
        <v>16</v>
      </c>
      <c r="C10" s="1" t="s">
        <v>12</v>
      </c>
      <c r="D10" s="1" t="s">
        <v>13</v>
      </c>
      <c r="E10" s="1">
        <v>460.0</v>
      </c>
      <c r="F10" s="1">
        <v>2.6</v>
      </c>
      <c r="G10" s="1">
        <v>28.0</v>
      </c>
      <c r="H10" s="1">
        <v>1.0</v>
      </c>
      <c r="I10" s="1">
        <v>1520.0</v>
      </c>
      <c r="J10" s="1">
        <v>98.5</v>
      </c>
      <c r="L10" s="2">
        <f t="array" ref="L10">XLOOKUP("VI005", B1:B31,J1:J31)</f>
        <v>99.1</v>
      </c>
    </row>
    <row r="11">
      <c r="A11" s="3">
        <v>46063.0</v>
      </c>
      <c r="B11" s="1" t="s">
        <v>17</v>
      </c>
      <c r="C11" s="1" t="s">
        <v>12</v>
      </c>
      <c r="D11" s="1" t="s">
        <v>13</v>
      </c>
      <c r="E11" s="1">
        <v>370.0</v>
      </c>
      <c r="F11" s="1">
        <v>1.5</v>
      </c>
      <c r="G11" s="1">
        <v>23.0</v>
      </c>
      <c r="H11" s="1">
        <v>0.6</v>
      </c>
      <c r="I11" s="1">
        <v>1300.0</v>
      </c>
      <c r="J11" s="1">
        <v>99.0</v>
      </c>
    </row>
    <row r="12">
      <c r="A12" s="3">
        <v>46064.0</v>
      </c>
      <c r="B12" s="1" t="s">
        <v>11</v>
      </c>
      <c r="C12" s="1" t="s">
        <v>12</v>
      </c>
      <c r="D12" s="1" t="s">
        <v>13</v>
      </c>
      <c r="E12" s="1">
        <v>350.0</v>
      </c>
      <c r="F12" s="1">
        <v>1.6</v>
      </c>
      <c r="G12" s="1">
        <v>24.0</v>
      </c>
      <c r="H12" s="1">
        <v>0.5</v>
      </c>
      <c r="I12" s="1">
        <v>1280.0</v>
      </c>
      <c r="J12" s="1">
        <v>99.1</v>
      </c>
      <c r="L12" s="2" t="str">
        <f>IFERROR(__xludf.DUMMYFUNCTION("QUERY(A1:J31,""SELECT B,SUM(G) GROUP BY B ORDER BY SUM(G) DESC"")"),"Site_ID")</f>
        <v>Site_ID</v>
      </c>
      <c r="M12" s="2" t="str">
        <f>IFERROR(__xludf.DUMMYFUNCTION("""COMPUTED_VALUE"""),"sum Latency _ms")</f>
        <v>sum Latency _ms</v>
      </c>
    </row>
    <row r="13">
      <c r="A13" s="3">
        <v>46065.0</v>
      </c>
      <c r="B13" s="1" t="s">
        <v>14</v>
      </c>
      <c r="C13" s="1" t="s">
        <v>12</v>
      </c>
      <c r="D13" s="1" t="s">
        <v>13</v>
      </c>
      <c r="E13" s="1">
        <v>430.0</v>
      </c>
      <c r="F13" s="1">
        <v>2.3</v>
      </c>
      <c r="G13" s="1">
        <v>27.0</v>
      </c>
      <c r="H13" s="1">
        <v>0.8</v>
      </c>
      <c r="I13" s="1">
        <v>1470.0</v>
      </c>
      <c r="J13" s="1">
        <v>98.8</v>
      </c>
      <c r="L13" s="2" t="str">
        <f>IFERROR(__xludf.DUMMYFUNCTION("""COMPUTED_VALUE"""),"VI004")</f>
        <v>VI004</v>
      </c>
      <c r="M13" s="2">
        <f>IFERROR(__xludf.DUMMYFUNCTION("""COMPUTED_VALUE"""),177.0)</f>
        <v>177</v>
      </c>
    </row>
    <row r="14">
      <c r="A14" s="3">
        <v>46066.0</v>
      </c>
      <c r="B14" s="1" t="s">
        <v>15</v>
      </c>
      <c r="C14" s="1" t="s">
        <v>12</v>
      </c>
      <c r="D14" s="1" t="s">
        <v>13</v>
      </c>
      <c r="E14" s="1">
        <v>400.0</v>
      </c>
      <c r="F14" s="1">
        <v>1.4</v>
      </c>
      <c r="G14" s="1">
        <v>22.0</v>
      </c>
      <c r="H14" s="1">
        <v>0.5</v>
      </c>
      <c r="I14" s="1">
        <v>1340.0</v>
      </c>
      <c r="J14" s="1">
        <v>99.2</v>
      </c>
      <c r="L14" s="2" t="str">
        <f>IFERROR(__xludf.DUMMYFUNCTION("""COMPUTED_VALUE"""),"VI002")</f>
        <v>VI002</v>
      </c>
      <c r="M14" s="2">
        <f>IFERROR(__xludf.DUMMYFUNCTION("""COMPUTED_VALUE"""),158.0)</f>
        <v>158</v>
      </c>
    </row>
    <row r="15">
      <c r="A15" s="3">
        <v>46067.0</v>
      </c>
      <c r="B15" s="1" t="s">
        <v>16</v>
      </c>
      <c r="C15" s="1" t="s">
        <v>12</v>
      </c>
      <c r="D15" s="1" t="s">
        <v>13</v>
      </c>
      <c r="E15" s="1">
        <v>470.0</v>
      </c>
      <c r="F15" s="1">
        <v>2.7</v>
      </c>
      <c r="G15" s="1">
        <v>29.0</v>
      </c>
      <c r="H15" s="1">
        <v>1.1</v>
      </c>
      <c r="I15" s="1">
        <v>1550.0</v>
      </c>
      <c r="J15" s="1">
        <v>98.4</v>
      </c>
      <c r="L15" s="2" t="str">
        <f>IFERROR(__xludf.DUMMYFUNCTION("""COMPUTED_VALUE"""),"VI005")</f>
        <v>VI005</v>
      </c>
      <c r="M15" s="2">
        <f>IFERROR(__xludf.DUMMYFUNCTION("""COMPUTED_VALUE"""),143.0)</f>
        <v>143</v>
      </c>
    </row>
    <row r="16">
      <c r="A16" s="3">
        <v>46068.0</v>
      </c>
      <c r="B16" s="1" t="s">
        <v>17</v>
      </c>
      <c r="C16" s="1" t="s">
        <v>12</v>
      </c>
      <c r="D16" s="1" t="s">
        <v>13</v>
      </c>
      <c r="E16" s="1">
        <v>380.0</v>
      </c>
      <c r="F16" s="1">
        <v>1.6</v>
      </c>
      <c r="G16" s="1">
        <v>24.0</v>
      </c>
      <c r="H16" s="1">
        <v>0.6</v>
      </c>
      <c r="I16" s="1">
        <v>1320.0</v>
      </c>
      <c r="J16" s="1">
        <v>99.0</v>
      </c>
      <c r="L16" s="2" t="str">
        <f>IFERROR(__xludf.DUMMYFUNCTION("""COMPUTED_VALUE"""),"VI001")</f>
        <v>VI001</v>
      </c>
      <c r="M16" s="2">
        <f>IFERROR(__xludf.DUMMYFUNCTION("""COMPUTED_VALUE"""),139.0)</f>
        <v>139</v>
      </c>
    </row>
    <row r="17">
      <c r="A17" s="3">
        <v>46069.0</v>
      </c>
      <c r="B17" s="1" t="s">
        <v>11</v>
      </c>
      <c r="C17" s="1" t="s">
        <v>12</v>
      </c>
      <c r="D17" s="1" t="s">
        <v>13</v>
      </c>
      <c r="E17" s="1">
        <v>355.0</v>
      </c>
      <c r="F17" s="1">
        <v>1.5</v>
      </c>
      <c r="G17" s="1">
        <v>23.0</v>
      </c>
      <c r="H17" s="1">
        <v>0.5</v>
      </c>
      <c r="I17" s="1">
        <v>1290.0</v>
      </c>
      <c r="J17" s="1">
        <v>9.1</v>
      </c>
      <c r="L17" s="2" t="str">
        <f>IFERROR(__xludf.DUMMYFUNCTION("""COMPUTED_VALUE"""),"VI003")</f>
        <v>VI003</v>
      </c>
      <c r="M17" s="2">
        <f>IFERROR(__xludf.DUMMYFUNCTION("""COMPUTED_VALUE"""),132.0)</f>
        <v>132</v>
      </c>
    </row>
    <row r="18">
      <c r="A18" s="3">
        <v>46070.0</v>
      </c>
      <c r="B18" s="1" t="s">
        <v>14</v>
      </c>
      <c r="C18" s="1" t="s">
        <v>12</v>
      </c>
      <c r="D18" s="1" t="s">
        <v>13</v>
      </c>
      <c r="E18" s="1">
        <v>440.0</v>
      </c>
      <c r="F18" s="1">
        <v>2.4</v>
      </c>
      <c r="G18" s="1">
        <v>27.0</v>
      </c>
      <c r="H18" s="1">
        <v>0.9</v>
      </c>
      <c r="I18" s="1">
        <v>1480.0</v>
      </c>
      <c r="J18" s="1">
        <v>98.7</v>
      </c>
    </row>
    <row r="19">
      <c r="A19" s="3">
        <v>46071.0</v>
      </c>
      <c r="B19" s="1" t="s">
        <v>15</v>
      </c>
      <c r="C19" s="1" t="s">
        <v>12</v>
      </c>
      <c r="D19" s="1" t="s">
        <v>13</v>
      </c>
      <c r="E19" s="1">
        <v>405.0</v>
      </c>
      <c r="F19" s="1">
        <v>1.3</v>
      </c>
      <c r="G19" s="1">
        <v>22.0</v>
      </c>
      <c r="H19" s="1">
        <v>0.5</v>
      </c>
      <c r="I19" s="1">
        <v>1350.0</v>
      </c>
      <c r="J19" s="1">
        <v>99.3</v>
      </c>
    </row>
    <row r="20">
      <c r="A20" s="3">
        <v>46072.0</v>
      </c>
      <c r="B20" s="1" t="s">
        <v>16</v>
      </c>
      <c r="C20" s="1" t="s">
        <v>12</v>
      </c>
      <c r="D20" s="1" t="s">
        <v>13</v>
      </c>
      <c r="E20" s="1">
        <v>480.0</v>
      </c>
      <c r="F20" s="1">
        <v>2.8</v>
      </c>
      <c r="G20" s="1">
        <v>30.0</v>
      </c>
      <c r="H20" s="1">
        <v>1.2</v>
      </c>
      <c r="I20" s="1">
        <v>1580.0</v>
      </c>
      <c r="J20" s="1">
        <v>98.3</v>
      </c>
      <c r="L20" s="2" t="str">
        <f>IFERROR(__xludf.DUMMYFUNCTION("QUERY(A1:J31,""SELECT B,E,1 WHERE E &lt; 400"")"),"Site_ID")</f>
        <v>Site_ID</v>
      </c>
      <c r="M20" s="2" t="str">
        <f>IFERROR(__xludf.DUMMYFUNCTION("""COMPUTED_VALUE"""),"4G_Traffic_GB")</f>
        <v>4G_Traffic_GB</v>
      </c>
      <c r="N20" s="2" t="str">
        <f>IFERROR(__xludf.DUMMYFUNCTION("""COMPUTED_VALUE"""),"1()")</f>
        <v>1()</v>
      </c>
    </row>
    <row r="21">
      <c r="A21" s="3">
        <v>46073.0</v>
      </c>
      <c r="B21" s="1" t="s">
        <v>17</v>
      </c>
      <c r="C21" s="1" t="s">
        <v>12</v>
      </c>
      <c r="D21" s="1" t="s">
        <v>13</v>
      </c>
      <c r="E21" s="1">
        <v>390.0</v>
      </c>
      <c r="F21" s="1">
        <v>1.7</v>
      </c>
      <c r="G21" s="1">
        <v>24.0</v>
      </c>
      <c r="H21" s="1">
        <v>0.6</v>
      </c>
      <c r="I21" s="1">
        <v>1330.0</v>
      </c>
      <c r="J21" s="1">
        <v>99.0</v>
      </c>
      <c r="L21" s="2" t="str">
        <f>IFERROR(__xludf.DUMMYFUNCTION("""COMPUTED_VALUE"""),"VI001")</f>
        <v>VI001</v>
      </c>
      <c r="M21" s="2">
        <f>IFERROR(__xludf.DUMMYFUNCTION("""COMPUTED_VALUE"""),320.0)</f>
        <v>320</v>
      </c>
      <c r="N21" s="2">
        <f>IFERROR(__xludf.DUMMYFUNCTION("""COMPUTED_VALUE"""),1.0)</f>
        <v>1</v>
      </c>
    </row>
    <row r="22">
      <c r="A22" s="3">
        <v>46074.0</v>
      </c>
      <c r="B22" s="1" t="s">
        <v>11</v>
      </c>
      <c r="C22" s="1" t="s">
        <v>12</v>
      </c>
      <c r="D22" s="1" t="s">
        <v>13</v>
      </c>
      <c r="E22" s="1">
        <v>360.0</v>
      </c>
      <c r="F22" s="1">
        <v>1.6</v>
      </c>
      <c r="G22" s="1">
        <v>23.0</v>
      </c>
      <c r="H22" s="1">
        <v>0.5</v>
      </c>
      <c r="I22" s="1">
        <v>1300.0</v>
      </c>
      <c r="J22" s="1">
        <v>99.2</v>
      </c>
      <c r="L22" s="2" t="str">
        <f>IFERROR(__xludf.DUMMYFUNCTION("""COMPUTED_VALUE"""),"VI003")</f>
        <v>VI003</v>
      </c>
      <c r="M22" s="2">
        <f>IFERROR(__xludf.DUMMYFUNCTION("""COMPUTED_VALUE"""),380.0)</f>
        <v>380</v>
      </c>
      <c r="N22" s="2">
        <f>IFERROR(__xludf.DUMMYFUNCTION("""COMPUTED_VALUE"""),1.0)</f>
        <v>1</v>
      </c>
    </row>
    <row r="23">
      <c r="A23" s="3">
        <v>46075.0</v>
      </c>
      <c r="B23" s="1" t="s">
        <v>14</v>
      </c>
      <c r="C23" s="1" t="s">
        <v>12</v>
      </c>
      <c r="D23" s="1" t="s">
        <v>13</v>
      </c>
      <c r="E23" s="1">
        <v>445.0</v>
      </c>
      <c r="F23" s="1">
        <v>2.3</v>
      </c>
      <c r="G23" s="1">
        <v>26.0</v>
      </c>
      <c r="H23" s="1">
        <v>0.8</v>
      </c>
      <c r="I23" s="1">
        <v>1490.0</v>
      </c>
      <c r="J23" s="1">
        <v>98.8</v>
      </c>
      <c r="L23" s="2" t="str">
        <f>IFERROR(__xludf.DUMMYFUNCTION("""COMPUTED_VALUE"""),"VI005")</f>
        <v>VI005</v>
      </c>
      <c r="M23" s="2">
        <f>IFERROR(__xludf.DUMMYFUNCTION("""COMPUTED_VALUE"""),360.0)</f>
        <v>360</v>
      </c>
      <c r="N23" s="2">
        <f>IFERROR(__xludf.DUMMYFUNCTION("""COMPUTED_VALUE"""),1.0)</f>
        <v>1</v>
      </c>
    </row>
    <row r="24">
      <c r="A24" s="3">
        <v>46076.0</v>
      </c>
      <c r="B24" s="1" t="s">
        <v>15</v>
      </c>
      <c r="C24" s="1" t="s">
        <v>12</v>
      </c>
      <c r="D24" s="1" t="s">
        <v>13</v>
      </c>
      <c r="E24" s="1">
        <v>410.0</v>
      </c>
      <c r="F24" s="1">
        <v>1.4</v>
      </c>
      <c r="G24" s="1">
        <v>22.0</v>
      </c>
      <c r="H24" s="1">
        <v>0.5</v>
      </c>
      <c r="I24" s="1">
        <v>1360.0</v>
      </c>
      <c r="J24" s="1">
        <v>99.3</v>
      </c>
      <c r="L24" s="2" t="str">
        <f>IFERROR(__xludf.DUMMYFUNCTION("""COMPUTED_VALUE"""),"VI001")</f>
        <v>VI001</v>
      </c>
      <c r="M24" s="2">
        <f>IFERROR(__xludf.DUMMYFUNCTION("""COMPUTED_VALUE"""),340.0)</f>
        <v>340</v>
      </c>
      <c r="N24" s="2">
        <f>IFERROR(__xludf.DUMMYFUNCTION("""COMPUTED_VALUE"""),1.0)</f>
        <v>1</v>
      </c>
    </row>
    <row r="25">
      <c r="A25" s="3">
        <v>46077.0</v>
      </c>
      <c r="B25" s="1" t="s">
        <v>16</v>
      </c>
      <c r="C25" s="1" t="s">
        <v>12</v>
      </c>
      <c r="D25" s="1" t="s">
        <v>13</v>
      </c>
      <c r="E25" s="1">
        <v>490.0</v>
      </c>
      <c r="F25" s="1">
        <v>2.9</v>
      </c>
      <c r="G25" s="1">
        <v>31.0</v>
      </c>
      <c r="H25" s="1">
        <v>1.3</v>
      </c>
      <c r="I25" s="1">
        <v>1600.0</v>
      </c>
      <c r="J25" s="1">
        <v>98.2</v>
      </c>
      <c r="L25" s="2" t="str">
        <f>IFERROR(__xludf.DUMMYFUNCTION("""COMPUTED_VALUE"""),"VI003")</f>
        <v>VI003</v>
      </c>
      <c r="M25" s="2">
        <f>IFERROR(__xludf.DUMMYFUNCTION("""COMPUTED_VALUE"""),395.0)</f>
        <v>395</v>
      </c>
      <c r="N25" s="2">
        <f>IFERROR(__xludf.DUMMYFUNCTION("""COMPUTED_VALUE"""),1.0)</f>
        <v>1</v>
      </c>
    </row>
    <row r="26">
      <c r="A26" s="3">
        <v>46078.0</v>
      </c>
      <c r="B26" s="1" t="s">
        <v>17</v>
      </c>
      <c r="C26" s="1" t="s">
        <v>12</v>
      </c>
      <c r="D26" s="1" t="s">
        <v>13</v>
      </c>
      <c r="E26" s="1">
        <v>395.0</v>
      </c>
      <c r="F26" s="1">
        <v>1.7</v>
      </c>
      <c r="G26" s="1">
        <v>24.0</v>
      </c>
      <c r="H26" s="1">
        <v>0.6</v>
      </c>
      <c r="I26" s="1">
        <v>1340.0</v>
      </c>
      <c r="J26" s="1">
        <v>99.0</v>
      </c>
      <c r="L26" s="2" t="str">
        <f>IFERROR(__xludf.DUMMYFUNCTION("""COMPUTED_VALUE"""),"VI005")</f>
        <v>VI005</v>
      </c>
      <c r="M26" s="2">
        <f>IFERROR(__xludf.DUMMYFUNCTION("""COMPUTED_VALUE"""),370.0)</f>
        <v>370</v>
      </c>
      <c r="N26" s="2">
        <f>IFERROR(__xludf.DUMMYFUNCTION("""COMPUTED_VALUE"""),1.0)</f>
        <v>1</v>
      </c>
    </row>
    <row r="27">
      <c r="A27" s="3">
        <v>46079.0</v>
      </c>
      <c r="B27" s="1" t="s">
        <v>11</v>
      </c>
      <c r="C27" s="1" t="s">
        <v>12</v>
      </c>
      <c r="D27" s="1" t="s">
        <v>13</v>
      </c>
      <c r="E27" s="1">
        <v>365.0</v>
      </c>
      <c r="F27" s="1">
        <v>1.6</v>
      </c>
      <c r="G27" s="1">
        <v>23.0</v>
      </c>
      <c r="H27" s="1">
        <v>0.5</v>
      </c>
      <c r="I27" s="1">
        <v>1310.0</v>
      </c>
      <c r="J27" s="1">
        <v>99.2</v>
      </c>
      <c r="L27" s="2" t="str">
        <f>IFERROR(__xludf.DUMMYFUNCTION("""COMPUTED_VALUE"""),"VI001")</f>
        <v>VI001</v>
      </c>
      <c r="M27" s="2">
        <f>IFERROR(__xludf.DUMMYFUNCTION("""COMPUTED_VALUE"""),350.0)</f>
        <v>350</v>
      </c>
      <c r="N27" s="2">
        <f>IFERROR(__xludf.DUMMYFUNCTION("""COMPUTED_VALUE"""),1.0)</f>
        <v>1</v>
      </c>
    </row>
    <row r="28">
      <c r="A28" s="3">
        <v>46080.0</v>
      </c>
      <c r="B28" s="1" t="s">
        <v>14</v>
      </c>
      <c r="C28" s="1" t="s">
        <v>12</v>
      </c>
      <c r="D28" s="1" t="s">
        <v>13</v>
      </c>
      <c r="E28" s="1">
        <v>450.0</v>
      </c>
      <c r="F28" s="1">
        <v>2.5</v>
      </c>
      <c r="G28" s="1">
        <v>27.0</v>
      </c>
      <c r="H28" s="1">
        <v>0.9</v>
      </c>
      <c r="I28" s="1">
        <v>1500.0</v>
      </c>
      <c r="J28" s="1">
        <v>98.7</v>
      </c>
      <c r="L28" s="2" t="str">
        <f>IFERROR(__xludf.DUMMYFUNCTION("""COMPUTED_VALUE"""),"VI005")</f>
        <v>VI005</v>
      </c>
      <c r="M28" s="2">
        <f>IFERROR(__xludf.DUMMYFUNCTION("""COMPUTED_VALUE"""),380.0)</f>
        <v>380</v>
      </c>
      <c r="N28" s="2">
        <f>IFERROR(__xludf.DUMMYFUNCTION("""COMPUTED_VALUE"""),1.0)</f>
        <v>1</v>
      </c>
    </row>
    <row r="29">
      <c r="A29" s="3">
        <v>46081.0</v>
      </c>
      <c r="B29" s="1" t="s">
        <v>15</v>
      </c>
      <c r="C29" s="1" t="s">
        <v>12</v>
      </c>
      <c r="D29" s="1" t="s">
        <v>13</v>
      </c>
      <c r="E29" s="1">
        <v>420.0</v>
      </c>
      <c r="F29" s="1">
        <v>1.5</v>
      </c>
      <c r="G29" s="1">
        <v>23.0</v>
      </c>
      <c r="H29" s="1">
        <v>0.6</v>
      </c>
      <c r="I29" s="1">
        <v>1370.0</v>
      </c>
      <c r="J29" s="1">
        <v>99.1</v>
      </c>
      <c r="L29" s="2" t="str">
        <f>IFERROR(__xludf.DUMMYFUNCTION("""COMPUTED_VALUE"""),"VI001")</f>
        <v>VI001</v>
      </c>
      <c r="M29" s="2">
        <f>IFERROR(__xludf.DUMMYFUNCTION("""COMPUTED_VALUE"""),355.0)</f>
        <v>355</v>
      </c>
      <c r="N29" s="2">
        <f>IFERROR(__xludf.DUMMYFUNCTION("""COMPUTED_VALUE"""),1.0)</f>
        <v>1</v>
      </c>
    </row>
    <row r="30">
      <c r="A30" s="3">
        <v>46082.0</v>
      </c>
      <c r="B30" s="1" t="s">
        <v>16</v>
      </c>
      <c r="C30" s="1" t="s">
        <v>12</v>
      </c>
      <c r="D30" s="1" t="s">
        <v>13</v>
      </c>
      <c r="E30" s="1">
        <v>500.0</v>
      </c>
      <c r="F30" s="1">
        <v>3.0</v>
      </c>
      <c r="G30" s="1">
        <v>32.0</v>
      </c>
      <c r="H30" s="1">
        <v>1.4</v>
      </c>
      <c r="I30" s="1">
        <v>1620.0</v>
      </c>
      <c r="J30" s="1">
        <v>98.1</v>
      </c>
      <c r="L30" s="2" t="str">
        <f>IFERROR(__xludf.DUMMYFUNCTION("""COMPUTED_VALUE"""),"VI005")</f>
        <v>VI005</v>
      </c>
      <c r="M30" s="2">
        <f>IFERROR(__xludf.DUMMYFUNCTION("""COMPUTED_VALUE"""),390.0)</f>
        <v>390</v>
      </c>
      <c r="N30" s="2">
        <f>IFERROR(__xludf.DUMMYFUNCTION("""COMPUTED_VALUE"""),1.0)</f>
        <v>1</v>
      </c>
    </row>
    <row r="31">
      <c r="A31" s="3">
        <v>46083.0</v>
      </c>
      <c r="B31" s="1" t="s">
        <v>17</v>
      </c>
      <c r="C31" s="1" t="s">
        <v>12</v>
      </c>
      <c r="D31" s="1" t="s">
        <v>13</v>
      </c>
      <c r="E31" s="1">
        <v>400.0</v>
      </c>
      <c r="F31" s="1">
        <v>1.8</v>
      </c>
      <c r="G31" s="1">
        <v>25.0</v>
      </c>
      <c r="H31" s="1">
        <v>0.7</v>
      </c>
      <c r="I31" s="1">
        <v>1350.0</v>
      </c>
      <c r="J31" s="1">
        <v>98.9</v>
      </c>
      <c r="L31" s="2" t="str">
        <f>IFERROR(__xludf.DUMMYFUNCTION("""COMPUTED_VALUE"""),"VI001")</f>
        <v>VI001</v>
      </c>
      <c r="M31" s="2">
        <f>IFERROR(__xludf.DUMMYFUNCTION("""COMPUTED_VALUE"""),360.0)</f>
        <v>360</v>
      </c>
      <c r="N31" s="2">
        <f>IFERROR(__xludf.DUMMYFUNCTION("""COMPUTED_VALUE"""),1.0)</f>
        <v>1</v>
      </c>
    </row>
    <row r="32">
      <c r="L32" s="2" t="str">
        <f>IFERROR(__xludf.DUMMYFUNCTION("""COMPUTED_VALUE"""),"VI005")</f>
        <v>VI005</v>
      </c>
      <c r="M32" s="2">
        <f>IFERROR(__xludf.DUMMYFUNCTION("""COMPUTED_VALUE"""),395.0)</f>
        <v>395</v>
      </c>
      <c r="N32" s="2">
        <f>IFERROR(__xludf.DUMMYFUNCTION("""COMPUTED_VALUE"""),1.0)</f>
        <v>1</v>
      </c>
    </row>
    <row r="33">
      <c r="L33" s="2" t="str">
        <f>IFERROR(__xludf.DUMMYFUNCTION("""COMPUTED_VALUE"""),"VI001")</f>
        <v>VI001</v>
      </c>
      <c r="M33" s="2">
        <f>IFERROR(__xludf.DUMMYFUNCTION("""COMPUTED_VALUE"""),365.0)</f>
        <v>365</v>
      </c>
      <c r="N33" s="2">
        <f>IFERROR(__xludf.DUMMYFUNCTION("""COMPUTED_VALUE"""),1.0)</f>
        <v>1</v>
      </c>
    </row>
  </sheetData>
  <conditionalFormatting sqref="F1:F1000">
    <cfRule type="cellIs" dxfId="0" priority="1" operator="greaterThan">
      <formula>2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38"/>
    <col customWidth="1" min="3" max="3" width="16.25"/>
    <col customWidth="1" min="4" max="4" width="17.38"/>
  </cols>
  <sheetData>
    <row r="1"/>
    <row r="2"/>
    <row r="3"/>
    <row r="4"/>
    <row r="5"/>
    <row r="6"/>
    <row r="7"/>
    <row r="8"/>
  </sheetData>
  <drawing r:id="rId2"/>
</worksheet>
</file>